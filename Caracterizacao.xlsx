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AD8BE2F7938248/UTFPR/Embarcados/capacitor2^J0/"/>
    </mc:Choice>
  </mc:AlternateContent>
  <xr:revisionPtr revIDLastSave="5" documentId="8_{22B481AE-D316-401E-A406-D55A4BBF70FE}" xr6:coauthVersionLast="47" xr6:coauthVersionMax="47" xr10:uidLastSave="{409C0CA9-369C-421C-8987-085C1C9CE698}"/>
  <bookViews>
    <workbookView xWindow="-120" yWindow="-120" windowWidth="29040" windowHeight="15720" activeTab="1" xr2:uid="{D8D9F068-30B6-467F-AA83-487545FDB35B}"/>
  </bookViews>
  <sheets>
    <sheet name="Tensao" sheetId="1" r:id="rId1"/>
    <sheet name="Corren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6" i="2" l="1"/>
  <c r="I24" i="1"/>
</calcChain>
</file>

<file path=xl/sharedStrings.xml><?xml version="1.0" encoding="utf-8"?>
<sst xmlns="http://schemas.openxmlformats.org/spreadsheetml/2006/main" count="8" uniqueCount="4">
  <si>
    <t>Tensão</t>
  </si>
  <si>
    <t>ADC</t>
  </si>
  <si>
    <t>TENSAO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</si>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</sst>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4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ADC x Tensão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197242229917211"/>
          <c:y val="0.16426887297183126"/>
          <c:w val="0.81920745710536591"/>
          <c:h val="0.6302063889609095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3031928999455185E-2"/>
                  <c:y val="-0.160400977182961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Tensao!$B$3:$B$21</c:f>
              <c:numCache>
                <c:formatCode>General</c:formatCode>
                <c:ptCount val="19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</c:numCache>
            </c:numRef>
          </c:xVal>
          <c:yVal>
            <c:numRef>
              <c:f>Tensao!$C$3:$C$21</c:f>
              <c:numCache>
                <c:formatCode>0.00</c:formatCode>
                <c:ptCount val="19"/>
                <c:pt idx="0">
                  <c:v>1.34</c:v>
                </c:pt>
                <c:pt idx="1">
                  <c:v>2.46</c:v>
                </c:pt>
                <c:pt idx="2">
                  <c:v>3.66</c:v>
                </c:pt>
                <c:pt idx="3">
                  <c:v>4.87</c:v>
                </c:pt>
                <c:pt idx="4">
                  <c:v>6.05</c:v>
                </c:pt>
                <c:pt idx="5">
                  <c:v>7.26</c:v>
                </c:pt>
                <c:pt idx="6">
                  <c:v>8.48</c:v>
                </c:pt>
                <c:pt idx="7">
                  <c:v>9.6999999999999993</c:v>
                </c:pt>
                <c:pt idx="8">
                  <c:v>10.9</c:v>
                </c:pt>
                <c:pt idx="9">
                  <c:v>12.11</c:v>
                </c:pt>
                <c:pt idx="10">
                  <c:v>13.32</c:v>
                </c:pt>
                <c:pt idx="11">
                  <c:v>14.54</c:v>
                </c:pt>
                <c:pt idx="12">
                  <c:v>15.75</c:v>
                </c:pt>
                <c:pt idx="13">
                  <c:v>16.93</c:v>
                </c:pt>
                <c:pt idx="14">
                  <c:v>18.14</c:v>
                </c:pt>
                <c:pt idx="15">
                  <c:v>19.36</c:v>
                </c:pt>
                <c:pt idx="16">
                  <c:v>20.58</c:v>
                </c:pt>
                <c:pt idx="17">
                  <c:v>21.56</c:v>
                </c:pt>
                <c:pt idx="18">
                  <c:v>22.53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8-44D2-8D23-E874337AD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484416"/>
        <c:axId val="233474816"/>
      </c:scatterChart>
      <c:valAx>
        <c:axId val="23348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ADC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3474816"/>
        <c:crosses val="autoZero"/>
        <c:crossBetween val="midCat"/>
      </c:valAx>
      <c:valAx>
        <c:axId val="23347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Tensão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348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1640419947506563E-3"/>
                  <c:y val="-0.74496172353455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Corrente!$B$3:$B$23</c:f>
              <c:numCache>
                <c:formatCode>General</c:formatCode>
                <c:ptCount val="21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75</c:v>
                </c:pt>
                <c:pt idx="5">
                  <c:v>90</c:v>
                </c:pt>
                <c:pt idx="6">
                  <c:v>105</c:v>
                </c:pt>
                <c:pt idx="7">
                  <c:v>120</c:v>
                </c:pt>
                <c:pt idx="8">
                  <c:v>135</c:v>
                </c:pt>
                <c:pt idx="9">
                  <c:v>150</c:v>
                </c:pt>
                <c:pt idx="10">
                  <c:v>165</c:v>
                </c:pt>
                <c:pt idx="11">
                  <c:v>180</c:v>
                </c:pt>
                <c:pt idx="12">
                  <c:v>195</c:v>
                </c:pt>
                <c:pt idx="13">
                  <c:v>210</c:v>
                </c:pt>
                <c:pt idx="14">
                  <c:v>225</c:v>
                </c:pt>
                <c:pt idx="15">
                  <c:v>240</c:v>
                </c:pt>
                <c:pt idx="16">
                  <c:v>255</c:v>
                </c:pt>
                <c:pt idx="17">
                  <c:v>270</c:v>
                </c:pt>
                <c:pt idx="18">
                  <c:v>285</c:v>
                </c:pt>
                <c:pt idx="19">
                  <c:v>300</c:v>
                </c:pt>
                <c:pt idx="20">
                  <c:v>315</c:v>
                </c:pt>
              </c:numCache>
            </c:numRef>
          </c:xVal>
          <c:yVal>
            <c:numRef>
              <c:f>Corrente!$C$3:$C$23</c:f>
              <c:numCache>
                <c:formatCode>General</c:formatCode>
                <c:ptCount val="21"/>
                <c:pt idx="0">
                  <c:v>34</c:v>
                </c:pt>
                <c:pt idx="1">
                  <c:v>52</c:v>
                </c:pt>
                <c:pt idx="2">
                  <c:v>69</c:v>
                </c:pt>
                <c:pt idx="3">
                  <c:v>84</c:v>
                </c:pt>
                <c:pt idx="4">
                  <c:v>101</c:v>
                </c:pt>
                <c:pt idx="5">
                  <c:v>113</c:v>
                </c:pt>
                <c:pt idx="6">
                  <c:v>129</c:v>
                </c:pt>
                <c:pt idx="7">
                  <c:v>140</c:v>
                </c:pt>
                <c:pt idx="8">
                  <c:v>154</c:v>
                </c:pt>
                <c:pt idx="9">
                  <c:v>167</c:v>
                </c:pt>
                <c:pt idx="10">
                  <c:v>190</c:v>
                </c:pt>
                <c:pt idx="11">
                  <c:v>205</c:v>
                </c:pt>
                <c:pt idx="12">
                  <c:v>228</c:v>
                </c:pt>
                <c:pt idx="13">
                  <c:v>248</c:v>
                </c:pt>
                <c:pt idx="14">
                  <c:v>268</c:v>
                </c:pt>
                <c:pt idx="15">
                  <c:v>288</c:v>
                </c:pt>
                <c:pt idx="16">
                  <c:v>306</c:v>
                </c:pt>
                <c:pt idx="17">
                  <c:v>325</c:v>
                </c:pt>
                <c:pt idx="18">
                  <c:v>347</c:v>
                </c:pt>
                <c:pt idx="19">
                  <c:v>367</c:v>
                </c:pt>
                <c:pt idx="20">
                  <c:v>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FD-40E2-B7BA-FBF81F8ED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95440"/>
        <c:axId val="105995920"/>
      </c:scatterChart>
      <c:valAx>
        <c:axId val="10599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ADC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995920"/>
        <c:crosses val="autoZero"/>
        <c:crossBetween val="midCat"/>
      </c:valAx>
      <c:valAx>
        <c:axId val="10599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Corrente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99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176212</xdr:colOff>
      <xdr:row>2</xdr:row>
      <xdr:rowOff>23812</xdr:rowOff>
    </xdr:from>
    <xdr:to>
      <xdr:col>11</xdr:col>
      <xdr:colOff>533400</xdr:colOff>
      <xdr:row>19</xdr:row>
      <xdr:rowOff>9526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1EC4FF0-6E1A-0E47-5D70-3F8991507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196918</xdr:colOff>
      <xdr:row>0</xdr:row>
      <xdr:rowOff>178697</xdr:rowOff>
    </xdr:from>
    <xdr:to>
      <xdr:col>10</xdr:col>
      <xdr:colOff>501719</xdr:colOff>
      <xdr:row>15</xdr:row>
      <xdr:rowOff>56114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700388-34FD-419B-59C5-C9BCBA12F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CB17-12D0-46B9-B119-3FE89657B097}">
  <dimension ref="B1:I24"/>
  <sheetViews>
    <sheetView zoomScale="85" zoomScaleNormal="85" workbookViewId="0">
      <selection activeCell="J32" sqref="J32"/>
    </sheetView>
  </sheetViews>
  <sheetFormatPr defaultRowHeight="15" x14ac:dyDescent="0.25"/>
  <cols>
    <col min="4" max="4" width="9.140625" style="1"/>
  </cols>
  <sheetData>
    <row r="1" spans="2:5" ht="15.75" thickBot="1" x14ac:dyDescent="0.3"/>
    <row r="2" spans="2:5" x14ac:dyDescent="0.25">
      <c r="B2" s="3" t="s">
        <v>1</v>
      </c>
      <c r="C2" s="4" t="s">
        <v>0</v>
      </c>
      <c r="E2" s="1"/>
    </row>
    <row r="3" spans="2:5" x14ac:dyDescent="0.25">
      <c r="B3" s="7">
        <v>50</v>
      </c>
      <c r="C3" s="8">
        <v>1.34</v>
      </c>
      <c r="D3" s="2"/>
    </row>
    <row r="4" spans="2:5" x14ac:dyDescent="0.25">
      <c r="B4" s="7">
        <v>100</v>
      </c>
      <c r="C4" s="8">
        <v>2.46</v>
      </c>
      <c r="D4" s="2"/>
    </row>
    <row r="5" spans="2:5" x14ac:dyDescent="0.25">
      <c r="B5" s="7">
        <v>150</v>
      </c>
      <c r="C5" s="8">
        <v>3.66</v>
      </c>
      <c r="D5" s="2"/>
    </row>
    <row r="6" spans="2:5" x14ac:dyDescent="0.25">
      <c r="B6" s="7">
        <v>200</v>
      </c>
      <c r="C6" s="8">
        <v>4.87</v>
      </c>
      <c r="D6" s="2"/>
    </row>
    <row r="7" spans="2:5" x14ac:dyDescent="0.25">
      <c r="B7" s="7">
        <v>250</v>
      </c>
      <c r="C7" s="8">
        <v>6.05</v>
      </c>
      <c r="D7" s="2"/>
    </row>
    <row r="8" spans="2:5" x14ac:dyDescent="0.25">
      <c r="B8" s="7">
        <v>300</v>
      </c>
      <c r="C8" s="8">
        <v>7.26</v>
      </c>
      <c r="D8" s="2"/>
    </row>
    <row r="9" spans="2:5" x14ac:dyDescent="0.25">
      <c r="B9" s="7">
        <v>350</v>
      </c>
      <c r="C9" s="8">
        <v>8.48</v>
      </c>
      <c r="D9" s="2"/>
    </row>
    <row r="10" spans="2:5" x14ac:dyDescent="0.25">
      <c r="B10" s="7">
        <v>400</v>
      </c>
      <c r="C10" s="8">
        <v>9.6999999999999993</v>
      </c>
      <c r="D10" s="2"/>
    </row>
    <row r="11" spans="2:5" x14ac:dyDescent="0.25">
      <c r="B11" s="7">
        <v>450</v>
      </c>
      <c r="C11" s="8">
        <v>10.9</v>
      </c>
      <c r="D11" s="2"/>
    </row>
    <row r="12" spans="2:5" x14ac:dyDescent="0.25">
      <c r="B12" s="7">
        <v>500</v>
      </c>
      <c r="C12" s="8">
        <v>12.11</v>
      </c>
      <c r="D12" s="2"/>
    </row>
    <row r="13" spans="2:5" x14ac:dyDescent="0.25">
      <c r="B13" s="7">
        <v>550</v>
      </c>
      <c r="C13" s="8">
        <v>13.32</v>
      </c>
      <c r="D13" s="2"/>
    </row>
    <row r="14" spans="2:5" x14ac:dyDescent="0.25">
      <c r="B14" s="7">
        <v>600</v>
      </c>
      <c r="C14" s="8">
        <v>14.54</v>
      </c>
      <c r="D14" s="2"/>
    </row>
    <row r="15" spans="2:5" x14ac:dyDescent="0.25">
      <c r="B15" s="7">
        <v>650</v>
      </c>
      <c r="C15" s="8">
        <v>15.75</v>
      </c>
      <c r="D15" s="2"/>
    </row>
    <row r="16" spans="2:5" x14ac:dyDescent="0.25">
      <c r="B16" s="7">
        <v>700</v>
      </c>
      <c r="C16" s="8">
        <v>16.93</v>
      </c>
      <c r="D16" s="2"/>
    </row>
    <row r="17" spans="2:9" x14ac:dyDescent="0.25">
      <c r="B17" s="7">
        <v>750</v>
      </c>
      <c r="C17" s="8">
        <v>18.14</v>
      </c>
      <c r="D17" s="2"/>
    </row>
    <row r="18" spans="2:9" x14ac:dyDescent="0.25">
      <c r="B18" s="7">
        <v>800</v>
      </c>
      <c r="C18" s="8">
        <v>19.36</v>
      </c>
      <c r="D18" s="2"/>
    </row>
    <row r="19" spans="2:9" x14ac:dyDescent="0.25">
      <c r="B19" s="7">
        <v>850</v>
      </c>
      <c r="C19" s="8">
        <v>20.58</v>
      </c>
      <c r="D19" s="2"/>
    </row>
    <row r="20" spans="2:9" x14ac:dyDescent="0.25">
      <c r="B20" s="7">
        <v>900</v>
      </c>
      <c r="C20" s="8">
        <v>21.56</v>
      </c>
      <c r="D20" s="2"/>
    </row>
    <row r="21" spans="2:9" x14ac:dyDescent="0.25">
      <c r="B21" s="7">
        <v>950</v>
      </c>
      <c r="C21" s="8">
        <v>22.53</v>
      </c>
      <c r="D21" s="2"/>
    </row>
    <row r="22" spans="2:9" ht="15.75" thickBot="1" x14ac:dyDescent="0.3">
      <c r="B22" s="7">
        <v>1000</v>
      </c>
      <c r="C22" s="8">
        <v>23.17</v>
      </c>
      <c r="D22" s="2"/>
    </row>
    <row r="23" spans="2:9" ht="15.75" thickBot="1" x14ac:dyDescent="0.3">
      <c r="B23" s="5">
        <v>1024</v>
      </c>
      <c r="C23" s="9">
        <v>23.75</v>
      </c>
      <c r="D23" s="2"/>
      <c r="H23" s="3" t="s">
        <v>1</v>
      </c>
      <c r="I23" s="4" t="s">
        <v>2</v>
      </c>
    </row>
    <row r="24" spans="2:9" ht="15.75" thickBot="1" x14ac:dyDescent="0.3">
      <c r="H24" s="5">
        <v>500</v>
      </c>
      <c r="I24" s="6">
        <f>0.0239*H24+0.1174</f>
        <v>12.067400000000001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1583-A2AC-408F-803F-98A17F1FAA98}">
  <dimension ref="B1:L26"/>
  <sheetViews>
    <sheetView tabSelected="1" zoomScale="115" zoomScaleNormal="115" workbookViewId="0">
      <selection activeCell="H23" sqref="H23"/>
    </sheetView>
  </sheetViews>
  <sheetFormatPr defaultRowHeight="15" x14ac:dyDescent="0.25"/>
  <sheetData>
    <row r="1" spans="2:12" ht="15.75" thickBot="1" x14ac:dyDescent="0.3"/>
    <row r="2" spans="2:12" x14ac:dyDescent="0.25">
      <c r="B2" s="10" t="s">
        <v>1</v>
      </c>
      <c r="C2" s="11" t="s">
        <v>3</v>
      </c>
    </row>
    <row r="3" spans="2:12" x14ac:dyDescent="0.25">
      <c r="B3" s="12">
        <v>15</v>
      </c>
      <c r="C3" s="13">
        <v>34</v>
      </c>
    </row>
    <row r="4" spans="2:12" x14ac:dyDescent="0.25">
      <c r="B4" s="12">
        <v>30</v>
      </c>
      <c r="C4" s="13">
        <v>52</v>
      </c>
    </row>
    <row r="5" spans="2:12" x14ac:dyDescent="0.25">
      <c r="B5" s="12">
        <v>45</v>
      </c>
      <c r="C5" s="13">
        <v>69</v>
      </c>
    </row>
    <row r="6" spans="2:12" x14ac:dyDescent="0.25">
      <c r="B6" s="12">
        <v>60</v>
      </c>
      <c r="C6" s="13">
        <v>84</v>
      </c>
    </row>
    <row r="7" spans="2:12" x14ac:dyDescent="0.25">
      <c r="B7" s="12">
        <v>75</v>
      </c>
      <c r="C7" s="13">
        <v>101</v>
      </c>
    </row>
    <row r="8" spans="2:12" x14ac:dyDescent="0.25">
      <c r="B8" s="12">
        <v>90</v>
      </c>
      <c r="C8" s="13">
        <v>113</v>
      </c>
    </row>
    <row r="9" spans="2:12" x14ac:dyDescent="0.25">
      <c r="B9" s="12">
        <v>105</v>
      </c>
      <c r="C9" s="13">
        <v>129</v>
      </c>
    </row>
    <row r="10" spans="2:12" x14ac:dyDescent="0.25">
      <c r="B10" s="12">
        <v>120</v>
      </c>
      <c r="C10" s="13">
        <v>140</v>
      </c>
    </row>
    <row r="11" spans="2:12" x14ac:dyDescent="0.25">
      <c r="B11" s="12">
        <v>135</v>
      </c>
      <c r="C11" s="13">
        <v>154</v>
      </c>
    </row>
    <row r="12" spans="2:12" x14ac:dyDescent="0.25">
      <c r="B12" s="12">
        <v>150</v>
      </c>
      <c r="C12" s="13">
        <v>167</v>
      </c>
    </row>
    <row r="13" spans="2:12" x14ac:dyDescent="0.25">
      <c r="B13" s="12">
        <v>165</v>
      </c>
      <c r="C13" s="13">
        <v>190</v>
      </c>
    </row>
    <row r="14" spans="2:12" x14ac:dyDescent="0.25">
      <c r="B14" s="12">
        <v>180</v>
      </c>
      <c r="C14" s="13">
        <v>205</v>
      </c>
    </row>
    <row r="15" spans="2:12" x14ac:dyDescent="0.25">
      <c r="B15" s="12">
        <v>195</v>
      </c>
      <c r="C15" s="13">
        <v>228</v>
      </c>
      <c r="L15" s="16"/>
    </row>
    <row r="16" spans="2:12" x14ac:dyDescent="0.25">
      <c r="B16" s="12">
        <v>210</v>
      </c>
      <c r="C16" s="13">
        <v>248</v>
      </c>
    </row>
    <row r="17" spans="2:8" x14ac:dyDescent="0.25">
      <c r="B17" s="12">
        <v>225</v>
      </c>
      <c r="C17" s="13">
        <v>268</v>
      </c>
    </row>
    <row r="18" spans="2:8" x14ac:dyDescent="0.25">
      <c r="B18" s="12">
        <v>240</v>
      </c>
      <c r="C18" s="13">
        <v>288</v>
      </c>
    </row>
    <row r="19" spans="2:8" x14ac:dyDescent="0.25">
      <c r="B19" s="12">
        <v>255</v>
      </c>
      <c r="C19" s="13">
        <v>306</v>
      </c>
    </row>
    <row r="20" spans="2:8" x14ac:dyDescent="0.25">
      <c r="B20" s="12">
        <v>270</v>
      </c>
      <c r="C20" s="13">
        <v>325</v>
      </c>
    </row>
    <row r="21" spans="2:8" x14ac:dyDescent="0.25">
      <c r="B21" s="12">
        <v>285</v>
      </c>
      <c r="C21" s="13">
        <v>347</v>
      </c>
    </row>
    <row r="22" spans="2:8" x14ac:dyDescent="0.25">
      <c r="B22" s="12">
        <v>300</v>
      </c>
      <c r="C22" s="13">
        <v>367</v>
      </c>
    </row>
    <row r="23" spans="2:8" ht="15.75" thickBot="1" x14ac:dyDescent="0.3">
      <c r="B23" s="14">
        <v>315</v>
      </c>
      <c r="C23" s="15">
        <v>388</v>
      </c>
      <c r="H23" s="16"/>
    </row>
    <row r="24" spans="2:8" ht="15.75" thickBot="1" x14ac:dyDescent="0.3"/>
    <row r="25" spans="2:8" x14ac:dyDescent="0.25">
      <c r="B25" s="3" t="s">
        <v>1</v>
      </c>
      <c r="C25" s="11" t="s">
        <v>3</v>
      </c>
    </row>
    <row r="26" spans="2:8" ht="15.75" thickBot="1" x14ac:dyDescent="0.3">
      <c r="B26" s="5">
        <v>300</v>
      </c>
      <c r="C26" s="6">
        <f>(1.1651*B26+7.9)/1000</f>
        <v>0.35743000000000003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Tensao</vt:lpstr>
      <vt:lpstr>Corrente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Alberto Martignago</dc:creator>
  <cp:lastModifiedBy>Luís Alberto Martignago</cp:lastModifiedBy>
  <dcterms:created xsi:type="dcterms:W3CDTF">2026-06-26T17:17:36Z</dcterms:created>
  <dcterms:modified xsi:type="dcterms:W3CDTF">2026-07-04T13:24:26Z</dcterms:modified>
</cp:coreProperties>
</file>